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prashant.robinson\Desktop\Project2PR\"/>
    </mc:Choice>
  </mc:AlternateContent>
  <xr:revisionPtr revIDLastSave="0" documentId="13_ncr:1_{7D2F6EFB-D4A9-44EE-A3DF-46788998E9B5}" xr6:coauthVersionLast="47" xr6:coauthVersionMax="47" xr10:uidLastSave="{00000000-0000-0000-0000-000000000000}"/>
  <bookViews>
    <workbookView xWindow="28680" yWindow="-120" windowWidth="29040" windowHeight="15840" tabRatio="790" activeTab="2" xr2:uid="{00000000-000D-0000-FFFF-FFFF00000000}"/>
  </bookViews>
  <sheets>
    <sheet name="Data" sheetId="3" r:id="rId1"/>
    <sheet name="Sheet1" sheetId="13" r:id="rId2"/>
    <sheet name="Completed_Scenario Forecast_v2" sheetId="12" r:id="rId3"/>
  </sheets>
  <definedNames>
    <definedName name="COGS">Data!$F$2:$F$13</definedName>
    <definedName name="companylist">Data!$B$15:$B$18</definedName>
    <definedName name="grossmargin">Data!$K$2:$K$13</definedName>
    <definedName name="grossprofit">Data!$I$2:$I$13</definedName>
    <definedName name="oper_margin">Data!$L$2:$L$13</definedName>
    <definedName name="oper_profit">Data!$J$2:$J$13</definedName>
    <definedName name="OtherOpItems">Data!$H$2:$H$13</definedName>
    <definedName name="RandD">Data!#REF!</definedName>
    <definedName name="SGAs">Data!$G$2:$G$13</definedName>
    <definedName name="tickersymbol">Data!$B$2:$B$13</definedName>
    <definedName name="total_revenue">Data!$E$2:$E$13</definedName>
    <definedName name="years">Data!$C$2:$C$13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2" l="1" a="1"/>
  <c r="E7" i="12" s="1"/>
  <c r="I3" i="3" l="1"/>
  <c r="I4" i="3"/>
  <c r="I5" i="3"/>
  <c r="I6" i="3"/>
  <c r="I7" i="3"/>
  <c r="I2" i="3"/>
  <c r="G11" i="12" a="1"/>
  <c r="G11" i="12" s="1"/>
  <c r="F11" i="12" a="1"/>
  <c r="F11" i="12" s="1"/>
  <c r="E11" i="12" a="1"/>
  <c r="E11" i="12" s="1"/>
  <c r="G10" i="12" a="1"/>
  <c r="G10" i="12" s="1"/>
  <c r="F10" i="12" a="1"/>
  <c r="F10" i="12" s="1"/>
  <c r="E10" i="12" a="1"/>
  <c r="E10" i="12" s="1"/>
  <c r="G8" i="12" a="1"/>
  <c r="G8" i="12" s="1"/>
  <c r="F8" i="12" a="1"/>
  <c r="F8" i="12" s="1"/>
  <c r="E8" i="12" a="1"/>
  <c r="E8" i="12" s="1"/>
  <c r="G7" i="12" a="1"/>
  <c r="G7" i="12" s="1"/>
  <c r="F7" i="12" a="1"/>
  <c r="F7" i="12" s="1"/>
  <c r="K11" i="3"/>
  <c r="K12" i="3"/>
  <c r="K13" i="3"/>
  <c r="I11" i="3"/>
  <c r="J11" i="3" s="1"/>
  <c r="L11" i="3" s="1"/>
  <c r="I12" i="3"/>
  <c r="J12" i="3" s="1"/>
  <c r="L12" i="3" s="1"/>
  <c r="I13" i="3"/>
  <c r="J13" i="3" s="1"/>
  <c r="L13" i="3" s="1"/>
  <c r="K3" i="3" l="1"/>
  <c r="K4" i="3"/>
  <c r="K5" i="3"/>
  <c r="K6" i="3"/>
  <c r="K7" i="3"/>
  <c r="K8" i="3"/>
  <c r="K9" i="3"/>
  <c r="K10" i="3"/>
  <c r="G9" i="12" l="1"/>
  <c r="G13" i="12" s="1"/>
  <c r="E9" i="12"/>
  <c r="E13" i="12" s="1"/>
  <c r="G12" i="12"/>
  <c r="F9" i="12"/>
  <c r="F13" i="12" s="1"/>
  <c r="E12" i="12"/>
  <c r="F12" i="12"/>
  <c r="H7" i="12"/>
  <c r="I7" i="12" s="1"/>
  <c r="J3" i="3"/>
  <c r="L3" i="3" s="1"/>
  <c r="J4" i="3"/>
  <c r="L4" i="3" s="1"/>
  <c r="J5" i="3"/>
  <c r="L5" i="3" s="1"/>
  <c r="J6" i="3"/>
  <c r="L6" i="3" s="1"/>
  <c r="J7" i="3"/>
  <c r="L7" i="3" s="1"/>
  <c r="I8" i="3"/>
  <c r="J8" i="3" s="1"/>
  <c r="L8" i="3" s="1"/>
  <c r="I9" i="3"/>
  <c r="J9" i="3" s="1"/>
  <c r="L9" i="3" s="1"/>
  <c r="I10" i="3"/>
  <c r="J10" i="3" s="1"/>
  <c r="L10" i="3" s="1"/>
  <c r="J2" i="3"/>
  <c r="L2" i="3" s="1"/>
  <c r="K2" i="3"/>
  <c r="H13" i="12" l="1"/>
  <c r="H9" i="12"/>
  <c r="I13" i="12" l="1"/>
  <c r="I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<sst xmlns="http://schemas.openxmlformats.org/spreadsheetml/2006/main" count="96" uniqueCount="42">
  <si>
    <t>Ticker symbol</t>
  </si>
  <si>
    <t>Income Statement</t>
  </si>
  <si>
    <t>Historical</t>
  </si>
  <si>
    <t>Year 1</t>
  </si>
  <si>
    <t>Year 2</t>
  </si>
  <si>
    <t>Year 3</t>
  </si>
  <si>
    <t>Year 4</t>
  </si>
  <si>
    <t>Revenue</t>
  </si>
  <si>
    <t>COGS</t>
  </si>
  <si>
    <t>Gross Profit</t>
  </si>
  <si>
    <t xml:space="preserve"> Sales, General and Admin. </t>
  </si>
  <si>
    <t>Other operating expenses</t>
  </si>
  <si>
    <t>Total operating expenses</t>
  </si>
  <si>
    <t>Operating income/ EBIT</t>
  </si>
  <si>
    <t>Ticker Symbol</t>
  </si>
  <si>
    <t>Years</t>
  </si>
  <si>
    <t>Period Ending</t>
  </si>
  <si>
    <t>Total Revenue</t>
  </si>
  <si>
    <t>Cost of Revenue</t>
  </si>
  <si>
    <t>Sales, General and Admin.</t>
  </si>
  <si>
    <t>Other Operating Items</t>
  </si>
  <si>
    <t>Forecast</t>
  </si>
  <si>
    <t>Year 5</t>
  </si>
  <si>
    <t>Scenario</t>
  </si>
  <si>
    <t>Strong case</t>
  </si>
  <si>
    <t>Operating statistics</t>
  </si>
  <si>
    <t>Assumptions</t>
  </si>
  <si>
    <t>Revenue growth (%)</t>
  </si>
  <si>
    <t>Gross margin</t>
  </si>
  <si>
    <t>Operating margin</t>
  </si>
  <si>
    <t>Operating Scenarios - sensitivity analysis</t>
  </si>
  <si>
    <t>Base case</t>
  </si>
  <si>
    <t>Weak case</t>
  </si>
  <si>
    <t>Gross Margin</t>
  </si>
  <si>
    <t>Operating Margin</t>
  </si>
  <si>
    <t>Gross Margin 
[1-(Cost of Revenue/Total Revenue)]</t>
  </si>
  <si>
    <t>Operating Margin
[Operating Income/Total Revenue]</t>
  </si>
  <si>
    <t>Operating Profit</t>
  </si>
  <si>
    <t>NAVI</t>
  </si>
  <si>
    <t>PYPL</t>
  </si>
  <si>
    <t>QRVO</t>
  </si>
  <si>
    <t>WRK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</si>
</sst>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%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164" fontId="1" fillId="0" borderId="0" xfId="1" applyNumberFormat="1" applyFont="1" applyBorder="1" applyAlignment="1"/>
    <xf numFmtId="0" fontId="0" fillId="0" borderId="0" xfId="0" applyAlignment="1">
      <alignment horizontal="left" indent="1"/>
    </xf>
    <xf numFmtId="44" fontId="0" fillId="0" borderId="0" xfId="1" applyFont="1"/>
    <xf numFmtId="0" fontId="4" fillId="0" borderId="0" xfId="0" applyFont="1" applyAlignment="1">
      <alignment horizontal="left" indent="1"/>
    </xf>
    <xf numFmtId="14" fontId="0" fillId="0" borderId="0" xfId="1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1" applyNumberFormat="1" applyFont="1" applyFill="1" applyBorder="1"/>
    <xf numFmtId="164" fontId="0" fillId="6" borderId="0" xfId="1" applyNumberFormat="1" applyFont="1" applyFill="1" applyBorder="1"/>
    <xf numFmtId="44" fontId="0" fillId="6" borderId="0" xfId="1" applyFont="1" applyFill="1" applyBorder="1"/>
    <xf numFmtId="0" fontId="0" fillId="5" borderId="2" xfId="0" applyFill="1" applyBorder="1"/>
    <xf numFmtId="0" fontId="0" fillId="0" borderId="4" xfId="0" applyBorder="1"/>
    <xf numFmtId="0" fontId="2" fillId="0" borderId="4" xfId="0" applyFont="1" applyBorder="1"/>
    <xf numFmtId="0" fontId="0" fillId="7" borderId="0" xfId="0" applyFill="1"/>
    <xf numFmtId="164" fontId="6" fillId="0" borderId="0" xfId="1" applyNumberFormat="1" applyFont="1" applyBorder="1"/>
    <xf numFmtId="164" fontId="7" fillId="0" borderId="0" xfId="1" applyNumberFormat="1" applyFont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1" applyNumberFormat="1" applyFont="1" applyBorder="1" applyAlignment="1">
      <alignment wrapText="1"/>
    </xf>
    <xf numFmtId="164" fontId="2" fillId="0" borderId="0" xfId="1" applyNumberFormat="1" applyFont="1" applyBorder="1" applyAlignment="1">
      <alignment wrapText="1"/>
    </xf>
    <xf numFmtId="2" fontId="2" fillId="8" borderId="0" xfId="0" applyNumberFormat="1" applyFont="1" applyFill="1" applyAlignment="1">
      <alignment wrapText="1"/>
    </xf>
    <xf numFmtId="2" fontId="2" fillId="0" borderId="0" xfId="0" applyNumberFormat="1" applyFont="1" applyAlignment="1">
      <alignment wrapText="1"/>
    </xf>
    <xf numFmtId="167" fontId="6" fillId="0" borderId="0" xfId="0" applyNumberFormat="1" applyFont="1"/>
    <xf numFmtId="0" fontId="0" fillId="4" borderId="0" xfId="0" applyFill="1"/>
    <xf numFmtId="2" fontId="0" fillId="0" borderId="0" xfId="0" applyNumberFormat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166" fontId="0" fillId="0" borderId="4" xfId="2" applyNumberFormat="1" applyFont="1" applyFill="1" applyBorder="1" applyAlignment="1">
      <alignment horizontal="center"/>
    </xf>
    <xf numFmtId="0" fontId="0" fillId="4" borderId="8" xfId="0" applyFill="1" applyBorder="1"/>
    <xf numFmtId="0" fontId="0" fillId="0" borderId="8" xfId="0" applyBorder="1"/>
    <xf numFmtId="0" fontId="2" fillId="3" borderId="8" xfId="0" applyFont="1" applyFill="1" applyBorder="1"/>
    <xf numFmtId="0" fontId="0" fillId="3" borderId="8" xfId="0" applyFill="1" applyBorder="1"/>
    <xf numFmtId="164" fontId="1" fillId="3" borderId="8" xfId="1" applyNumberFormat="1" applyFont="1" applyFill="1" applyBorder="1" applyAlignment="1"/>
    <xf numFmtId="164" fontId="0" fillId="0" borderId="0" xfId="1" applyNumberFormat="1" applyFont="1"/>
    <xf numFmtId="6" fontId="8" fillId="0" borderId="0" xfId="0" applyNumberFormat="1" applyFont="1" applyAlignment="1">
      <alignment horizontal="right" wrapText="1"/>
    </xf>
    <xf numFmtId="44" fontId="8" fillId="0" borderId="0" xfId="1" applyFont="1" applyBorder="1" applyAlignment="1">
      <alignment horizontal="right" wrapText="1"/>
    </xf>
    <xf numFmtId="6" fontId="0" fillId="0" borderId="0" xfId="0" applyNumberFormat="1" applyAlignment="1">
      <alignment horizontal="right" wrapText="1"/>
    </xf>
    <xf numFmtId="44" fontId="0" fillId="0" borderId="0" xfId="1" applyFont="1" applyBorder="1" applyAlignment="1">
      <alignment horizontal="right" wrapText="1"/>
    </xf>
    <xf numFmtId="164" fontId="0" fillId="0" borderId="0" xfId="1" applyNumberFormat="1" applyFont="1" applyBorder="1" applyAlignment="1">
      <alignment horizontal="right" wrapText="1"/>
    </xf>
    <xf numFmtId="166" fontId="0" fillId="0" borderId="4" xfId="0" applyNumberFormat="1" applyBorder="1" applyAlignment="1">
      <alignment horizontal="center"/>
    </xf>
    <xf numFmtId="164" fontId="5" fillId="0" borderId="0" xfId="1" applyNumberFormat="1" applyFont="1" applyBorder="1" applyAlignment="1"/>
    <xf numFmtId="165" fontId="5" fillId="3" borderId="8" xfId="1" applyNumberFormat="1" applyFont="1" applyFill="1" applyBorder="1" applyAlignment="1"/>
    <xf numFmtId="2" fontId="6" fillId="4" borderId="8" xfId="0" applyNumberFormat="1" applyFont="1" applyFill="1" applyBorder="1"/>
    <xf numFmtId="9" fontId="5" fillId="4" borderId="0" xfId="2" applyFont="1" applyFill="1" applyBorder="1"/>
    <xf numFmtId="166" fontId="6" fillId="4" borderId="0" xfId="0" quotePrefix="1" applyNumberFormat="1" applyFont="1" applyFill="1"/>
    <xf numFmtId="2" fontId="6" fillId="4" borderId="0" xfId="0" quotePrefix="1" applyNumberFormat="1" applyFont="1" applyFill="1"/>
    <xf numFmtId="166" fontId="9" fillId="0" borderId="0" xfId="0" applyNumberFormat="1" applyFont="1"/>
    <xf numFmtId="166" fontId="9" fillId="0" borderId="0" xfId="2" applyNumberFormat="1" applyFont="1" applyFill="1" applyBorder="1"/>
    <xf numFmtId="166" fontId="6" fillId="0" borderId="4" xfId="2" applyNumberFormat="1" applyFont="1" applyFill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2" fontId="9" fillId="0" borderId="0" xfId="2" applyNumberFormat="1" applyFont="1" applyFill="1" applyBorder="1"/>
    <xf numFmtId="2" fontId="9" fillId="0" borderId="0" xfId="0" applyNumberFormat="1" applyFont="1"/>
    <xf numFmtId="166" fontId="6" fillId="0" borderId="4" xfId="0" applyNumberFormat="1" applyFont="1" applyBorder="1"/>
    <xf numFmtId="2" fontId="9" fillId="0" borderId="8" xfId="2" applyNumberFormat="1" applyFont="1" applyFill="1" applyBorder="1"/>
    <xf numFmtId="2" fontId="9" fillId="0" borderId="8" xfId="0" applyNumberFormat="1" applyFont="1" applyBorder="1"/>
    <xf numFmtId="2" fontId="10" fillId="4" borderId="0" xfId="0" applyNumberFormat="1" applyFont="1" applyFill="1"/>
    <xf numFmtId="2" fontId="10" fillId="4" borderId="8" xfId="0" applyNumberFormat="1" applyFont="1" applyFill="1" applyBorder="1"/>
    <xf numFmtId="164" fontId="10" fillId="0" borderId="0" xfId="1" applyNumberFormat="1" applyFont="1" applyBorder="1" applyAlignme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CE832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workbookViewId="0">
      <selection activeCell="C1" sqref="C1:C1048576"/>
    </sheetView>
  </sheetViews>
  <sheetFormatPr defaultRowHeight="15" x14ac:dyDescent="0.25"/>
  <cols>
    <col min="4" max="4" width="13.7109375" hidden="1" customWidth="1"/>
    <col min="5" max="5" width="15.5703125" customWidth="1"/>
    <col min="6" max="10" width="15.42578125" style="10" customWidth="1"/>
    <col min="11" max="12" width="16.5703125" customWidth="1"/>
    <col min="22" max="22" width="13.7109375" hidden="1" customWidth="1"/>
    <col min="23" max="23" width="12.28515625" customWidth="1"/>
    <col min="26" max="26" width="17.28515625" customWidth="1"/>
    <col min="27" max="27" width="12.140625" customWidth="1"/>
    <col min="28" max="28" width="18" customWidth="1"/>
  </cols>
  <sheetData>
    <row r="1" spans="1:17" s="1" customFormat="1" ht="75" x14ac:dyDescent="0.25">
      <c r="A1" s="22"/>
      <c r="B1" s="22" t="s">
        <v>14</v>
      </c>
      <c r="C1" s="22" t="s">
        <v>15</v>
      </c>
      <c r="D1" s="23" t="s">
        <v>16</v>
      </c>
      <c r="E1" s="24" t="s">
        <v>17</v>
      </c>
      <c r="F1" s="24" t="s">
        <v>18</v>
      </c>
      <c r="G1" s="24" t="s">
        <v>19</v>
      </c>
      <c r="H1" s="24" t="s">
        <v>20</v>
      </c>
      <c r="I1" s="21" t="s">
        <v>9</v>
      </c>
      <c r="J1" s="21" t="s">
        <v>37</v>
      </c>
      <c r="K1" s="25" t="s">
        <v>35</v>
      </c>
      <c r="L1" s="25" t="s">
        <v>36</v>
      </c>
      <c r="M1" s="26"/>
      <c r="N1" s="26"/>
      <c r="O1" s="26"/>
      <c r="P1" s="26"/>
      <c r="Q1" s="26"/>
    </row>
    <row r="2" spans="1:17" x14ac:dyDescent="0.25">
      <c r="A2">
        <v>1</v>
      </c>
      <c r="B2" t="s">
        <v>38</v>
      </c>
      <c r="C2" t="s">
        <v>3</v>
      </c>
      <c r="D2" s="9">
        <v>41639</v>
      </c>
      <c r="E2" s="39">
        <v>5015000000</v>
      </c>
      <c r="F2" s="39">
        <v>1844000000</v>
      </c>
      <c r="G2" s="39">
        <v>446000000</v>
      </c>
      <c r="H2" s="39">
        <v>104000000</v>
      </c>
      <c r="I2" s="20">
        <f>E2-F2</f>
        <v>3171000000</v>
      </c>
      <c r="J2" s="20">
        <f t="shared" ref="J2:J13" si="0">I2-SUM(G2:H2)</f>
        <v>2621000000</v>
      </c>
      <c r="K2" s="27">
        <f t="shared" ref="K2:K13" si="1">1-(F2/E2)</f>
        <v>0.63230309072781654</v>
      </c>
      <c r="L2" s="27">
        <f t="shared" ref="L2:L13" si="2">J2/E2</f>
        <v>0.5226321036889332</v>
      </c>
    </row>
    <row r="3" spans="1:17" x14ac:dyDescent="0.25">
      <c r="A3">
        <v>2</v>
      </c>
      <c r="B3" t="s">
        <v>38</v>
      </c>
      <c r="C3" t="s">
        <v>4</v>
      </c>
      <c r="D3" s="9">
        <v>42004</v>
      </c>
      <c r="E3" s="39">
        <v>5115000000</v>
      </c>
      <c r="F3" s="39">
        <v>1945000000</v>
      </c>
      <c r="G3" s="39">
        <v>495000000</v>
      </c>
      <c r="H3" s="39">
        <v>122000000</v>
      </c>
      <c r="I3" s="20">
        <f t="shared" ref="I3:I7" si="3">E3-F3</f>
        <v>3170000000</v>
      </c>
      <c r="J3" s="20">
        <f t="shared" si="0"/>
        <v>2553000000</v>
      </c>
      <c r="K3" s="27">
        <f t="shared" si="1"/>
        <v>0.61974584555229717</v>
      </c>
      <c r="L3" s="27">
        <f t="shared" si="2"/>
        <v>0.49912023460410559</v>
      </c>
    </row>
    <row r="4" spans="1:17" x14ac:dyDescent="0.25">
      <c r="A4">
        <v>3</v>
      </c>
      <c r="B4" t="s">
        <v>38</v>
      </c>
      <c r="C4" t="s">
        <v>5</v>
      </c>
      <c r="D4" s="9">
        <v>42369</v>
      </c>
      <c r="E4" s="39">
        <v>4183000000</v>
      </c>
      <c r="F4" s="39">
        <v>1479000000</v>
      </c>
      <c r="G4" s="39">
        <v>545000000</v>
      </c>
      <c r="H4" s="39">
        <v>137000000</v>
      </c>
      <c r="I4" s="20">
        <f t="shared" si="3"/>
        <v>2704000000</v>
      </c>
      <c r="J4" s="20">
        <f t="shared" si="0"/>
        <v>2022000000</v>
      </c>
      <c r="K4" s="27">
        <f t="shared" si="1"/>
        <v>0.64642601004064071</v>
      </c>
      <c r="L4" s="27">
        <f t="shared" si="2"/>
        <v>0.48338513028926605</v>
      </c>
    </row>
    <row r="5" spans="1:17" x14ac:dyDescent="0.25">
      <c r="A5">
        <v>4</v>
      </c>
      <c r="B5" t="s">
        <v>39</v>
      </c>
      <c r="C5" t="s">
        <v>3</v>
      </c>
      <c r="D5" s="9">
        <v>42004</v>
      </c>
      <c r="E5" s="40">
        <v>8025000000</v>
      </c>
      <c r="F5" s="41">
        <v>747000000</v>
      </c>
      <c r="G5" s="40">
        <v>5494000000</v>
      </c>
      <c r="H5" s="44">
        <v>516000000</v>
      </c>
      <c r="I5" s="20">
        <f t="shared" si="3"/>
        <v>7278000000</v>
      </c>
      <c r="J5" s="20">
        <f t="shared" si="0"/>
        <v>1268000000</v>
      </c>
      <c r="K5" s="27">
        <f t="shared" si="1"/>
        <v>0.90691588785046728</v>
      </c>
      <c r="L5" s="27">
        <f t="shared" si="2"/>
        <v>0.158006230529595</v>
      </c>
    </row>
    <row r="6" spans="1:17" x14ac:dyDescent="0.25">
      <c r="A6">
        <v>5</v>
      </c>
      <c r="B6" t="s">
        <v>39</v>
      </c>
      <c r="C6" t="s">
        <v>4</v>
      </c>
      <c r="D6" s="9">
        <v>42369</v>
      </c>
      <c r="E6" s="40">
        <v>9248000000</v>
      </c>
      <c r="F6" s="41">
        <v>792000000</v>
      </c>
      <c r="G6" s="40">
        <v>6339000000</v>
      </c>
      <c r="H6" s="44">
        <v>608000000</v>
      </c>
      <c r="I6" s="20">
        <f t="shared" si="3"/>
        <v>8456000000</v>
      </c>
      <c r="J6" s="20">
        <f t="shared" si="0"/>
        <v>1509000000</v>
      </c>
      <c r="K6" s="27">
        <f t="shared" si="1"/>
        <v>0.91435986159169547</v>
      </c>
      <c r="L6" s="27">
        <f t="shared" si="2"/>
        <v>0.16317041522491349</v>
      </c>
    </row>
    <row r="7" spans="1:17" x14ac:dyDescent="0.25">
      <c r="A7">
        <v>6</v>
      </c>
      <c r="B7" t="s">
        <v>39</v>
      </c>
      <c r="C7" t="s">
        <v>5</v>
      </c>
      <c r="D7" s="9">
        <v>42735</v>
      </c>
      <c r="E7" s="40">
        <v>10842000000</v>
      </c>
      <c r="F7" s="41">
        <v>834000000</v>
      </c>
      <c r="G7" s="40">
        <v>7698000000</v>
      </c>
      <c r="H7" s="44">
        <v>724000000</v>
      </c>
      <c r="I7" s="20">
        <f t="shared" si="3"/>
        <v>10008000000</v>
      </c>
      <c r="J7" s="20">
        <f t="shared" si="0"/>
        <v>1586000000</v>
      </c>
      <c r="K7" s="27">
        <f t="shared" si="1"/>
        <v>0.92307692307692313</v>
      </c>
      <c r="L7" s="27">
        <f t="shared" si="2"/>
        <v>0.14628297362110312</v>
      </c>
    </row>
    <row r="8" spans="1:17" x14ac:dyDescent="0.25">
      <c r="A8">
        <v>7</v>
      </c>
      <c r="B8" t="s">
        <v>40</v>
      </c>
      <c r="C8" t="s">
        <v>3</v>
      </c>
      <c r="D8" s="9">
        <v>41727</v>
      </c>
      <c r="E8" s="40">
        <v>1148231000</v>
      </c>
      <c r="F8" s="40">
        <v>940573000</v>
      </c>
      <c r="G8" s="40">
        <v>180317000</v>
      </c>
      <c r="H8" s="43">
        <v>0</v>
      </c>
      <c r="I8" s="20">
        <f t="shared" ref="I8:I13" si="4">E8-F8</f>
        <v>207658000</v>
      </c>
      <c r="J8" s="20">
        <f t="shared" si="0"/>
        <v>27341000</v>
      </c>
      <c r="K8" s="27">
        <f t="shared" si="1"/>
        <v>0.18085036895885931</v>
      </c>
      <c r="L8" s="27">
        <f t="shared" si="2"/>
        <v>2.3811410770132491E-2</v>
      </c>
    </row>
    <row r="9" spans="1:17" x14ac:dyDescent="0.25">
      <c r="A9">
        <v>8</v>
      </c>
      <c r="B9" t="s">
        <v>40</v>
      </c>
      <c r="C9" t="s">
        <v>4</v>
      </c>
      <c r="D9" s="9">
        <v>42091</v>
      </c>
      <c r="E9" s="40">
        <v>1710966000</v>
      </c>
      <c r="F9" s="40">
        <v>1279152000</v>
      </c>
      <c r="G9" s="40">
        <v>309348000</v>
      </c>
      <c r="H9" s="43">
        <v>0</v>
      </c>
      <c r="I9" s="20">
        <f t="shared" si="4"/>
        <v>431814000</v>
      </c>
      <c r="J9" s="20">
        <f t="shared" si="0"/>
        <v>122466000</v>
      </c>
      <c r="K9" s="27">
        <f t="shared" si="1"/>
        <v>0.25238023432376799</v>
      </c>
      <c r="L9" s="27">
        <f t="shared" si="2"/>
        <v>7.1577109071717382E-2</v>
      </c>
    </row>
    <row r="10" spans="1:17" x14ac:dyDescent="0.25">
      <c r="A10">
        <v>9</v>
      </c>
      <c r="B10" t="s">
        <v>40</v>
      </c>
      <c r="C10" t="s">
        <v>5</v>
      </c>
      <c r="D10" s="9">
        <v>42462</v>
      </c>
      <c r="E10" s="40">
        <v>2610726000</v>
      </c>
      <c r="F10" s="40">
        <v>2009936000</v>
      </c>
      <c r="G10" s="40">
        <v>588822000</v>
      </c>
      <c r="H10" s="43">
        <v>0</v>
      </c>
      <c r="I10" s="20">
        <f t="shared" si="4"/>
        <v>600790000</v>
      </c>
      <c r="J10" s="20">
        <f t="shared" si="0"/>
        <v>11968000</v>
      </c>
      <c r="K10" s="27">
        <f t="shared" si="1"/>
        <v>0.23012372803580305</v>
      </c>
      <c r="L10" s="27">
        <f t="shared" si="2"/>
        <v>4.5841654773423179E-3</v>
      </c>
    </row>
    <row r="11" spans="1:17" x14ac:dyDescent="0.25">
      <c r="A11">
        <v>10</v>
      </c>
      <c r="B11" t="s">
        <v>41</v>
      </c>
      <c r="C11" t="s">
        <v>3</v>
      </c>
      <c r="D11" s="9">
        <v>41912</v>
      </c>
      <c r="E11" s="40">
        <v>9895100000</v>
      </c>
      <c r="F11" s="40">
        <v>7961500000</v>
      </c>
      <c r="G11" s="40">
        <v>937600000</v>
      </c>
      <c r="H11" s="42">
        <v>86000000</v>
      </c>
      <c r="I11" s="20">
        <f t="shared" si="4"/>
        <v>1933600000</v>
      </c>
      <c r="J11" s="20">
        <f t="shared" si="0"/>
        <v>910000000</v>
      </c>
      <c r="K11" s="27">
        <f t="shared" si="1"/>
        <v>0.19540984931936012</v>
      </c>
      <c r="L11" s="27">
        <f t="shared" si="2"/>
        <v>9.1964709805863507E-2</v>
      </c>
    </row>
    <row r="12" spans="1:17" x14ac:dyDescent="0.25">
      <c r="A12">
        <v>11</v>
      </c>
      <c r="B12" t="s">
        <v>41</v>
      </c>
      <c r="C12" t="s">
        <v>4</v>
      </c>
      <c r="D12" s="9">
        <v>42277</v>
      </c>
      <c r="E12" s="40">
        <v>11124800000</v>
      </c>
      <c r="F12" s="40">
        <v>8986500000</v>
      </c>
      <c r="G12" s="40">
        <v>1026100000</v>
      </c>
      <c r="H12" s="42">
        <v>118900000</v>
      </c>
      <c r="I12" s="20">
        <f t="shared" si="4"/>
        <v>2138300000</v>
      </c>
      <c r="J12" s="20">
        <f t="shared" si="0"/>
        <v>993300000</v>
      </c>
      <c r="K12" s="27">
        <f t="shared" si="1"/>
        <v>0.19221019703725006</v>
      </c>
      <c r="L12" s="27">
        <f t="shared" si="2"/>
        <v>8.9286998417949084E-2</v>
      </c>
    </row>
    <row r="13" spans="1:17" x14ac:dyDescent="0.25">
      <c r="A13">
        <v>12</v>
      </c>
      <c r="B13" t="s">
        <v>41</v>
      </c>
      <c r="C13" t="s">
        <v>5</v>
      </c>
      <c r="D13" s="9">
        <v>42643</v>
      </c>
      <c r="E13" s="40">
        <v>14171800000</v>
      </c>
      <c r="F13" s="40">
        <v>11413200000</v>
      </c>
      <c r="G13" s="40">
        <v>1750100000</v>
      </c>
      <c r="H13" s="42">
        <v>211800000</v>
      </c>
      <c r="I13" s="20">
        <f t="shared" si="4"/>
        <v>2758600000</v>
      </c>
      <c r="J13" s="20">
        <f t="shared" si="0"/>
        <v>796700000</v>
      </c>
      <c r="K13" s="27">
        <f t="shared" si="1"/>
        <v>0.19465417237048221</v>
      </c>
      <c r="L13" s="27">
        <f t="shared" si="2"/>
        <v>5.6217276563315884E-2</v>
      </c>
    </row>
    <row r="15" spans="1:17" x14ac:dyDescent="0.25">
      <c r="B15" t="s">
        <v>38</v>
      </c>
    </row>
    <row r="16" spans="1:17" x14ac:dyDescent="0.25">
      <c r="B16" t="s">
        <v>39</v>
      </c>
    </row>
    <row r="17" spans="2:2" x14ac:dyDescent="0.25">
      <c r="B17" t="s">
        <v>40</v>
      </c>
    </row>
    <row r="18" spans="2:2" x14ac:dyDescent="0.25">
      <c r="B18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F32C-8BC5-4BD5-B0EA-48BFDFEC34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tabSelected="1" topLeftCell="A7" workbookViewId="0">
      <selection activeCell="C23" sqref="C23"/>
    </sheetView>
  </sheetViews>
  <sheetFormatPr defaultRowHeight="15" x14ac:dyDescent="0.25"/>
  <cols>
    <col min="1" max="1" width="12.42578125" customWidth="1"/>
    <col min="3" max="3" width="13.42578125" customWidth="1"/>
    <col min="5" max="6" width="15.85546875" customWidth="1"/>
    <col min="7" max="7" width="18.5703125" customWidth="1"/>
    <col min="8" max="8" width="17.42578125" customWidth="1"/>
    <col min="9" max="9" width="20.5703125" customWidth="1"/>
  </cols>
  <sheetData>
    <row r="1" spans="1:9" x14ac:dyDescent="0.25">
      <c r="D1" s="1"/>
    </row>
    <row r="2" spans="1:9" x14ac:dyDescent="0.25">
      <c r="A2" s="1" t="s">
        <v>0</v>
      </c>
      <c r="B2" s="19" t="s">
        <v>39</v>
      </c>
    </row>
    <row r="4" spans="1:9" x14ac:dyDescent="0.25">
      <c r="B4" s="2" t="s">
        <v>1</v>
      </c>
      <c r="C4" s="3"/>
      <c r="D4" s="3"/>
      <c r="E4" s="3"/>
      <c r="F4" s="3"/>
      <c r="G4" s="3"/>
      <c r="H4" s="3"/>
      <c r="I4" s="3"/>
    </row>
    <row r="5" spans="1:9" x14ac:dyDescent="0.25">
      <c r="E5" s="64" t="s">
        <v>2</v>
      </c>
      <c r="F5" s="64"/>
      <c r="G5" s="64"/>
      <c r="H5" s="65" t="s">
        <v>21</v>
      </c>
      <c r="I5" s="65"/>
    </row>
    <row r="6" spans="1:9" x14ac:dyDescent="0.25">
      <c r="B6" s="4"/>
      <c r="E6" s="12" t="s">
        <v>3</v>
      </c>
      <c r="F6" s="12" t="s">
        <v>4</v>
      </c>
      <c r="G6" s="12" t="s">
        <v>5</v>
      </c>
      <c r="H6" s="31" t="s">
        <v>6</v>
      </c>
      <c r="I6" s="30" t="s">
        <v>22</v>
      </c>
    </row>
    <row r="7" spans="1:9" x14ac:dyDescent="0.25">
      <c r="B7" s="1" t="s">
        <v>7</v>
      </c>
      <c r="E7" s="63" cm="1">
        <f t="array" ref="E7">INDEX(total_revenue,MATCH(1,(B2 =tickersymbol)*(E6= years),0))</f>
        <v>8025000000</v>
      </c>
      <c r="F7" s="63">
        <f t="array" ref="F7">INDEX(total_revenue,MATCH(1,(B2 =tickersymbol)*(F6= years),0))</f>
        <v>9248000000</v>
      </c>
      <c r="G7" s="63">
        <f t="array" ref="G7">INDEX(total_revenue,MATCH(1,(B2 =tickersymbol)*(G6= years),0))</f>
        <v>10842000000</v>
      </c>
      <c r="H7" s="13">
        <f>G7*(1+H18)</f>
        <v>10842000000</v>
      </c>
      <c r="I7" s="13">
        <f>H7*(1+I18)</f>
        <v>10842000000</v>
      </c>
    </row>
    <row r="8" spans="1:9" x14ac:dyDescent="0.25">
      <c r="B8" s="6" t="s">
        <v>8</v>
      </c>
      <c r="E8" s="63">
        <f t="array" ref="E8">INDEX(COGS,MATCH(1,(B2 =tickersymbol)*(E6= years),0))</f>
        <v>747000000</v>
      </c>
      <c r="F8" s="63">
        <f t="array" ref="F8">INDEX(COGS,MATCH(1,(B2 =tickersymbol)*(F6= years),0))</f>
        <v>792000000</v>
      </c>
      <c r="G8" s="63">
        <f t="array" ref="G8">INDEX(COGS,MATCH(1,(B2 =tickersymbol)*(G6= years),0))</f>
        <v>834000000</v>
      </c>
      <c r="H8" s="14"/>
      <c r="I8" s="14"/>
    </row>
    <row r="9" spans="1:9" x14ac:dyDescent="0.25">
      <c r="B9" s="1" t="s">
        <v>9</v>
      </c>
      <c r="E9" s="46">
        <f>E7-E8</f>
        <v>7278000000</v>
      </c>
      <c r="F9" s="46">
        <f t="shared" ref="F9:G9" si="0">F7-F8</f>
        <v>8456000000</v>
      </c>
      <c r="G9" s="46">
        <f t="shared" si="0"/>
        <v>10008000000</v>
      </c>
      <c r="H9" s="13">
        <f>H7*H19</f>
        <v>0</v>
      </c>
      <c r="I9" s="13">
        <f>I7*I19</f>
        <v>0</v>
      </c>
    </row>
    <row r="10" spans="1:9" x14ac:dyDescent="0.25">
      <c r="B10" s="7" t="s">
        <v>10</v>
      </c>
      <c r="E10" s="63">
        <f t="array" ref="E10">INDEX(SGAs,MATCH(1,(B2 =tickersymbol)*(E6 = years),0))</f>
        <v>5494000000</v>
      </c>
      <c r="F10" s="63">
        <f t="array" ref="F10">INDEX(SGAs,MATCH(1,(B2 =tickersymbol)*(F6 = years),0))</f>
        <v>6339000000</v>
      </c>
      <c r="G10" s="63">
        <f t="array" ref="G10">INDEX(SGAs,MATCH(1,(B2 =tickersymbol)*(G6 = years),0))</f>
        <v>7698000000</v>
      </c>
      <c r="H10" s="14"/>
      <c r="I10" s="14"/>
    </row>
    <row r="11" spans="1:9" x14ac:dyDescent="0.25">
      <c r="B11" s="6" t="s">
        <v>11</v>
      </c>
      <c r="E11" s="63">
        <f t="array" ref="E11">INDEX(OtherOpItems,MATCH(1,(B2 =tickersymbol)*(E6 = years),0))</f>
        <v>516000000</v>
      </c>
      <c r="F11" s="63">
        <f t="array" ref="F11">INDEX(OtherOpItems,MATCH(1,(B2 =tickersymbol)*(F6 = years),0))</f>
        <v>608000000</v>
      </c>
      <c r="G11" s="63">
        <f t="array" ref="G11">INDEX(OtherOpItems,MATCH(1,(B2 =tickersymbol)*(G6 = years),0))</f>
        <v>724000000</v>
      </c>
      <c r="H11" s="14"/>
      <c r="I11" s="14"/>
    </row>
    <row r="12" spans="1:9" x14ac:dyDescent="0.25">
      <c r="B12" s="8" t="s">
        <v>12</v>
      </c>
      <c r="E12" s="5">
        <f>SUM(E10:E11)</f>
        <v>6010000000</v>
      </c>
      <c r="F12" s="5">
        <f>SUM(F10:F11)</f>
        <v>6947000000</v>
      </c>
      <c r="G12" s="5">
        <f>SUM(G10:G11)</f>
        <v>8422000000</v>
      </c>
      <c r="H12" s="15"/>
      <c r="I12" s="15"/>
    </row>
    <row r="13" spans="1:9" x14ac:dyDescent="0.25">
      <c r="B13" s="36" t="s">
        <v>13</v>
      </c>
      <c r="C13" s="37"/>
      <c r="D13" s="37"/>
      <c r="E13" s="47">
        <f>E9-(SUM(E10:E11))</f>
        <v>1268000000</v>
      </c>
      <c r="F13" s="47">
        <f>F9-SUM(F10:F11)</f>
        <v>1509000000</v>
      </c>
      <c r="G13" s="47">
        <f>G9-SUM(G10:G11)</f>
        <v>1586000000</v>
      </c>
      <c r="H13" s="38">
        <f>H7*H20</f>
        <v>0</v>
      </c>
      <c r="I13" s="38">
        <f>I7*I20</f>
        <v>0</v>
      </c>
    </row>
    <row r="16" spans="1:9" x14ac:dyDescent="0.25">
      <c r="B16" s="2" t="s">
        <v>25</v>
      </c>
      <c r="C16" s="3"/>
      <c r="D16" s="3"/>
      <c r="E16" s="3"/>
      <c r="F16" s="2"/>
      <c r="G16" s="2"/>
      <c r="H16" s="2"/>
      <c r="I16" s="2"/>
    </row>
    <row r="17" spans="1:19" ht="15.75" thickBot="1" x14ac:dyDescent="0.3">
      <c r="B17" s="32"/>
      <c r="C17" s="32"/>
      <c r="D17" s="66" t="s">
        <v>2</v>
      </c>
      <c r="E17" s="66"/>
      <c r="F17" s="66"/>
      <c r="G17" s="66"/>
      <c r="H17" s="66" t="s">
        <v>26</v>
      </c>
      <c r="I17" s="66"/>
    </row>
    <row r="18" spans="1:19" ht="15.75" thickTop="1" x14ac:dyDescent="0.25">
      <c r="B18" s="28" t="s">
        <v>27</v>
      </c>
      <c r="E18" s="28"/>
      <c r="F18" s="49"/>
      <c r="G18" s="49"/>
      <c r="H18" s="50"/>
      <c r="I18" s="50"/>
    </row>
    <row r="19" spans="1:19" x14ac:dyDescent="0.25">
      <c r="B19" s="28" t="s">
        <v>28</v>
      </c>
      <c r="E19" s="61"/>
      <c r="F19" s="61"/>
      <c r="G19" s="61"/>
      <c r="H19" s="51"/>
      <c r="I19" s="51"/>
    </row>
    <row r="20" spans="1:19" x14ac:dyDescent="0.25">
      <c r="B20" s="34" t="s">
        <v>29</v>
      </c>
      <c r="C20" s="35"/>
      <c r="D20" s="35"/>
      <c r="E20" s="62"/>
      <c r="F20" s="62"/>
      <c r="G20" s="62"/>
      <c r="H20" s="48"/>
      <c r="I20" s="48"/>
    </row>
    <row r="22" spans="1:19" ht="15.75" thickBot="1" x14ac:dyDescent="0.3"/>
    <row r="23" spans="1:19" ht="15.75" thickBot="1" x14ac:dyDescent="0.3">
      <c r="B23" t="s">
        <v>23</v>
      </c>
      <c r="C23" s="16" t="s">
        <v>24</v>
      </c>
      <c r="L23" t="s">
        <v>23</v>
      </c>
      <c r="M23" s="16" t="s">
        <v>24</v>
      </c>
    </row>
    <row r="25" spans="1:19" x14ac:dyDescent="0.25">
      <c r="B25" s="2" t="s">
        <v>30</v>
      </c>
      <c r="C25" s="3"/>
      <c r="D25" s="3"/>
      <c r="E25" s="3"/>
      <c r="F25" s="3"/>
      <c r="G25" s="3"/>
      <c r="H25" s="3"/>
      <c r="I25" s="3"/>
      <c r="L25" s="2" t="s">
        <v>30</v>
      </c>
      <c r="M25" s="3"/>
      <c r="N25" s="3"/>
      <c r="O25" s="3"/>
      <c r="P25" s="3"/>
      <c r="Q25" s="3"/>
      <c r="R25" s="3"/>
      <c r="S25" s="3"/>
    </row>
    <row r="27" spans="1:19" ht="15.75" thickBot="1" x14ac:dyDescent="0.3">
      <c r="B27" s="18" t="s">
        <v>27</v>
      </c>
      <c r="C27" s="17"/>
      <c r="D27" s="17"/>
      <c r="E27" s="17"/>
      <c r="F27" s="17"/>
      <c r="G27" s="18"/>
      <c r="H27" s="33" t="s">
        <v>6</v>
      </c>
      <c r="I27" s="45" t="s">
        <v>22</v>
      </c>
      <c r="L27" s="18" t="s">
        <v>27</v>
      </c>
      <c r="M27" s="17"/>
      <c r="N27" s="17"/>
      <c r="O27" s="17"/>
      <c r="P27" s="17"/>
      <c r="Q27" s="18"/>
      <c r="R27" s="33" t="s">
        <v>6</v>
      </c>
      <c r="S27" s="45" t="s">
        <v>22</v>
      </c>
    </row>
    <row r="28" spans="1:19" ht="15.75" thickTop="1" x14ac:dyDescent="0.25">
      <c r="A28" s="11"/>
      <c r="B28" t="s">
        <v>24</v>
      </c>
      <c r="D28">
        <v>1</v>
      </c>
      <c r="H28" s="52"/>
      <c r="I28" s="52"/>
      <c r="L28" t="s">
        <v>24</v>
      </c>
      <c r="N28">
        <v>1</v>
      </c>
      <c r="R28" s="52"/>
      <c r="S28" s="52"/>
    </row>
    <row r="29" spans="1:19" x14ac:dyDescent="0.25">
      <c r="A29" s="11"/>
      <c r="B29" t="s">
        <v>31</v>
      </c>
      <c r="D29">
        <v>2</v>
      </c>
      <c r="H29" s="52"/>
      <c r="I29" s="52"/>
      <c r="L29" t="s">
        <v>31</v>
      </c>
      <c r="N29">
        <v>2</v>
      </c>
      <c r="R29" s="52"/>
      <c r="S29" s="52"/>
    </row>
    <row r="30" spans="1:19" x14ac:dyDescent="0.25">
      <c r="A30" s="11"/>
      <c r="B30" t="s">
        <v>32</v>
      </c>
      <c r="D30">
        <v>3</v>
      </c>
      <c r="H30" s="53"/>
      <c r="I30" s="52"/>
      <c r="L30" t="s">
        <v>32</v>
      </c>
      <c r="N30">
        <v>3</v>
      </c>
      <c r="R30" s="53"/>
      <c r="S30" s="52"/>
    </row>
    <row r="31" spans="1:19" ht="15.75" thickBot="1" x14ac:dyDescent="0.3">
      <c r="A31" s="11"/>
      <c r="B31" s="18" t="s">
        <v>33</v>
      </c>
      <c r="C31" s="17"/>
      <c r="D31" s="17"/>
      <c r="E31" s="17"/>
      <c r="F31" s="17"/>
      <c r="G31" s="18"/>
      <c r="H31" s="54"/>
      <c r="I31" s="55"/>
      <c r="L31" s="18" t="s">
        <v>33</v>
      </c>
      <c r="M31" s="17"/>
      <c r="N31" s="17"/>
      <c r="O31" s="17"/>
      <c r="P31" s="17"/>
      <c r="Q31" s="18"/>
      <c r="R31" s="54"/>
      <c r="S31" s="55"/>
    </row>
    <row r="32" spans="1:19" ht="15.75" thickTop="1" x14ac:dyDescent="0.25">
      <c r="A32" s="11"/>
      <c r="B32" t="s">
        <v>24</v>
      </c>
      <c r="D32">
        <v>1</v>
      </c>
      <c r="H32" s="56"/>
      <c r="I32" s="57"/>
      <c r="L32" t="s">
        <v>24</v>
      </c>
      <c r="N32">
        <v>1</v>
      </c>
      <c r="R32" s="56"/>
      <c r="S32" s="57"/>
    </row>
    <row r="33" spans="1:19" x14ac:dyDescent="0.25">
      <c r="A33" s="11"/>
      <c r="B33" t="s">
        <v>31</v>
      </c>
      <c r="D33">
        <v>2</v>
      </c>
      <c r="E33" s="29"/>
      <c r="F33" s="29"/>
      <c r="H33" s="56"/>
      <c r="I33" s="57"/>
      <c r="L33" t="s">
        <v>31</v>
      </c>
      <c r="N33">
        <v>2</v>
      </c>
      <c r="O33" s="29"/>
      <c r="P33" s="29"/>
      <c r="R33" s="56"/>
      <c r="S33" s="57"/>
    </row>
    <row r="34" spans="1:19" x14ac:dyDescent="0.25">
      <c r="A34" s="11"/>
      <c r="B34" t="s">
        <v>32</v>
      </c>
      <c r="D34">
        <v>3</v>
      </c>
      <c r="H34" s="56"/>
      <c r="I34" s="57"/>
      <c r="L34" t="s">
        <v>32</v>
      </c>
      <c r="N34">
        <v>3</v>
      </c>
      <c r="R34" s="56"/>
      <c r="S34" s="57"/>
    </row>
    <row r="35" spans="1:19" ht="15.75" thickBot="1" x14ac:dyDescent="0.3">
      <c r="B35" s="18" t="s">
        <v>34</v>
      </c>
      <c r="C35" s="17"/>
      <c r="D35" s="17"/>
      <c r="E35" s="17"/>
      <c r="F35" s="17"/>
      <c r="G35" s="18"/>
      <c r="H35" s="55"/>
      <c r="I35" s="58"/>
      <c r="L35" s="18" t="s">
        <v>34</v>
      </c>
      <c r="M35" s="17"/>
      <c r="N35" s="17"/>
      <c r="O35" s="17"/>
      <c r="P35" s="17"/>
      <c r="Q35" s="18"/>
      <c r="R35" s="55"/>
      <c r="S35" s="58"/>
    </row>
    <row r="36" spans="1:19" ht="15.75" thickTop="1" x14ac:dyDescent="0.25">
      <c r="A36" s="11"/>
      <c r="B36" t="s">
        <v>24</v>
      </c>
      <c r="D36">
        <v>1</v>
      </c>
      <c r="H36" s="57"/>
      <c r="I36" s="57"/>
      <c r="L36" t="s">
        <v>24</v>
      </c>
      <c r="N36">
        <v>1</v>
      </c>
      <c r="R36" s="57"/>
      <c r="S36" s="57"/>
    </row>
    <row r="37" spans="1:19" x14ac:dyDescent="0.25">
      <c r="A37" s="11"/>
      <c r="B37" t="s">
        <v>31</v>
      </c>
      <c r="D37">
        <v>2</v>
      </c>
      <c r="E37" s="29"/>
      <c r="F37" s="29"/>
      <c r="H37" s="57"/>
      <c r="I37" s="57"/>
      <c r="L37" t="s">
        <v>31</v>
      </c>
      <c r="N37">
        <v>2</v>
      </c>
      <c r="O37" s="29"/>
      <c r="P37" s="29"/>
      <c r="R37" s="57"/>
      <c r="S37" s="57"/>
    </row>
    <row r="38" spans="1:19" x14ac:dyDescent="0.25">
      <c r="A38" s="11"/>
      <c r="B38" s="35" t="s">
        <v>32</v>
      </c>
      <c r="C38" s="35"/>
      <c r="D38" s="35">
        <v>3</v>
      </c>
      <c r="E38" s="35"/>
      <c r="F38" s="35"/>
      <c r="G38" s="35"/>
      <c r="H38" s="59"/>
      <c r="I38" s="60"/>
      <c r="L38" s="35" t="s">
        <v>32</v>
      </c>
      <c r="M38" s="35"/>
      <c r="N38" s="35">
        <v>3</v>
      </c>
      <c r="O38" s="35"/>
      <c r="P38" s="35"/>
      <c r="Q38" s="35"/>
      <c r="R38" s="59"/>
      <c r="S38" s="60"/>
    </row>
  </sheetData>
  <mergeCells count="4">
    <mergeCell ref="E5:G5"/>
    <mergeCell ref="H5:I5"/>
    <mergeCell ref="D17:G17"/>
    <mergeCell ref="H17:I17"/>
  </mergeCells>
  <dataValidations count="2">
    <dataValidation type="list" allowBlank="1" showInputMessage="1" showErrorMessage="1" sqref="B2" xr:uid="{00000000-0002-0000-0100-000000000000}">
      <formula1>companylist</formula1>
    </dataValidation>
    <dataValidation type="list" allowBlank="1" showInputMessage="1" showErrorMessage="1" sqref="C23 M23" xr:uid="{00000000-0002-0000-0100-000001000000}">
      <formula1>$B$28:$B$30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Data</vt:lpstr>
      <vt:lpstr>Sheet1</vt:lpstr>
      <vt:lpstr>Completed_Scenario Forecast_v2</vt:lpstr>
      <vt:lpstr>COGS</vt:lpstr>
      <vt:lpstr>companylist</vt:lpstr>
      <vt:lpstr>grossmargin</vt:lpstr>
      <vt:lpstr>grossprofit</vt:lpstr>
      <vt:lpstr>oper_margin</vt:lpstr>
      <vt:lpstr>oper_profit</vt:lpstr>
      <vt:lpstr>OtherOpItems</vt:lpstr>
      <vt:lpstr>SGAs</vt:lpstr>
      <vt:lpstr>tickersymbol</vt:lpstr>
      <vt:lpstr>total_revenue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Prashant Robinson</cp:lastModifiedBy>
  <dcterms:created xsi:type="dcterms:W3CDTF">2018-11-12T18:10:26Z</dcterms:created>
  <dcterms:modified xsi:type="dcterms:W3CDTF">2023-10-20T05:12:55Z</dcterms:modified>
</cp:coreProperties>
</file>